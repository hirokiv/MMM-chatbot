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AI Investigator" sheetId="2" state="visible" r:id="rId2"/>
    <sheet xmlns:r="http://schemas.openxmlformats.org/officeDocument/2006/relationships" name="RAG Pipeline" sheetId="3" state="visible" r:id="rId3"/>
    <sheet xmlns:r="http://schemas.openxmlformats.org/officeDocument/2006/relationships" name="Root Cause Analysis" sheetId="4" state="visible" r:id="rId4"/>
    <sheet xmlns:r="http://schemas.openxmlformats.org/officeDocument/2006/relationships" name="Confidence Scorer" sheetId="5" state="visible" r:id="rId5"/>
    <sheet xmlns:r="http://schemas.openxmlformats.org/officeDocument/2006/relationships" name="Co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$#,##0.000000"/>
    <numFmt numFmtId="168" formatCode="¥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9"/>
    </font>
    <font>
      <name val="Arial"/>
      <b val="1"/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6" fontId="3" fillId="3" borderId="1" applyAlignment="1" pivotButton="0" quotePrefix="0" xfId="0">
      <alignment horizontal="right"/>
    </xf>
    <xf numFmtId="0" fontId="4" fillId="0" borderId="0" pivotButton="0" quotePrefix="0" xfId="0"/>
    <xf numFmtId="167" fontId="3" fillId="4" borderId="1" applyAlignment="1" pivotButton="0" quotePrefix="0" xfId="0">
      <alignment horizontal="right"/>
    </xf>
    <xf numFmtId="168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5" fillId="6" borderId="1" pivotButton="0" quotePrefix="0" xfId="0"/>
    <xf numFmtId="165" fontId="5" fillId="6" borderId="1" pivotButton="0" quotePrefix="0" xfId="0"/>
    <xf numFmtId="168" fontId="5" fillId="6" borderId="1" pivotButton="0" quotePrefix="0" xfId="0"/>
    <xf numFmtId="0" fontId="6" fillId="7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</cols>
  <sheetData>
    <row r="1">
      <c r="A1" s="1" t="inlineStr">
        <is>
          <t>Parameters</t>
        </is>
      </c>
    </row>
    <row r="3">
      <c r="A3" s="2" t="inlineStr">
        <is>
          <t>Business Parameters</t>
        </is>
      </c>
      <c r="B3" s="3" t="n"/>
      <c r="C3" s="3" t="n"/>
    </row>
    <row r="4">
      <c r="A4" s="4" t="inlineStr">
        <is>
          <t>Number of Maisons</t>
        </is>
      </c>
      <c r="B4" s="5" t="n">
        <v>10</v>
      </c>
      <c r="C4" s="6" t="inlineStr">
        <is>
          <t>Editable</t>
        </is>
      </c>
    </row>
    <row r="5">
      <c r="A5" s="4" t="inlineStr">
        <is>
          <t>Number of Stores (all Maisons)</t>
        </is>
      </c>
      <c r="B5" s="5" t="n">
        <v>150</v>
      </c>
      <c r="C5" s="6" t="inlineStr">
        <is>
          <t>Editable</t>
        </is>
      </c>
    </row>
    <row r="6">
      <c r="A6" s="4" t="inlineStr">
        <is>
          <t>Monthly Transactions / Maison</t>
        </is>
      </c>
      <c r="B6" s="5" t="n">
        <v>1000</v>
      </c>
      <c r="C6" s="6" t="inlineStr">
        <is>
          <t>Editable</t>
        </is>
      </c>
    </row>
    <row r="7">
      <c r="A7" s="4" t="inlineStr">
        <is>
          <t>AI Fallback Rate</t>
        </is>
      </c>
      <c r="B7" s="7" t="n">
        <v>0.05</v>
      </c>
      <c r="C7" s="6" t="inlineStr">
        <is>
          <t>Editable (Deterministic Engine unmatched rate)</t>
        </is>
      </c>
    </row>
    <row r="9">
      <c r="A9" s="2" t="inlineStr">
        <is>
          <t>Calculated Values</t>
        </is>
      </c>
      <c r="B9" s="3" t="n"/>
      <c r="C9" s="3" t="n"/>
    </row>
    <row r="10">
      <c r="A10" s="8" t="inlineStr">
        <is>
          <t>Total Monthly Transactions</t>
        </is>
      </c>
      <c r="B10" s="9">
        <f>B4*B6</f>
        <v/>
      </c>
      <c r="C10" s="10" t="inlineStr">
        <is>
          <t>Maisons x Transactions/Maison</t>
        </is>
      </c>
    </row>
    <row r="11">
      <c r="A11" s="8" t="inlineStr">
        <is>
          <t>Monthly AI Fallback Cases</t>
        </is>
      </c>
      <c r="B11" s="9">
        <f>B10*B7</f>
        <v/>
      </c>
      <c r="C11" s="10" t="inlineStr">
        <is>
          <t>Total Transactions x Fallback Rate</t>
        </is>
      </c>
    </row>
    <row r="13">
      <c r="A13" s="2" t="inlineStr">
        <is>
          <t>Azure OpenAI Pay-As-You-Go Pricing (USD / 1M tokens)</t>
        </is>
      </c>
      <c r="B13" s="3" t="n"/>
      <c r="C13" s="3" t="n"/>
    </row>
    <row r="14">
      <c r="A14" s="4" t="inlineStr">
        <is>
          <t>GPT-4.1 Input</t>
        </is>
      </c>
      <c r="B14" s="11" t="n">
        <v>2</v>
      </c>
      <c r="C14" s="6" t="inlineStr">
        <is>
          <t>Global Standard</t>
        </is>
      </c>
    </row>
    <row r="15">
      <c r="A15" s="4" t="inlineStr">
        <is>
          <t>GPT-4.1 Output</t>
        </is>
      </c>
      <c r="B15" s="11" t="n">
        <v>8</v>
      </c>
      <c r="C15" s="6" t="inlineStr">
        <is>
          <t>Global Standard</t>
        </is>
      </c>
    </row>
    <row r="16">
      <c r="A16" s="4" t="inlineStr">
        <is>
          <t>GPT-4.1 Cached Input</t>
        </is>
      </c>
      <c r="B16" s="11" t="n">
        <v>0.5</v>
      </c>
      <c r="C16" s="6" t="inlineStr">
        <is>
          <t>With Prompt Caching</t>
        </is>
      </c>
    </row>
    <row r="17">
      <c r="A17" s="4" t="inlineStr">
        <is>
          <t>GPT-4o-mini Input</t>
        </is>
      </c>
      <c r="B17" s="11" t="n">
        <v>0.15</v>
      </c>
      <c r="C17" s="6" t="inlineStr">
        <is>
          <t>Global Standard</t>
        </is>
      </c>
    </row>
    <row r="18">
      <c r="A18" s="4" t="inlineStr">
        <is>
          <t>GPT-4o-mini Output</t>
        </is>
      </c>
      <c r="B18" s="11" t="n">
        <v>0.6</v>
      </c>
      <c r="C18" s="6" t="inlineStr">
        <is>
          <t>Global Standard</t>
        </is>
      </c>
    </row>
    <row r="19">
      <c r="A19" s="4" t="inlineStr">
        <is>
          <t>GPT-4o-mini Cached Input</t>
        </is>
      </c>
      <c r="B19" s="11" t="n">
        <v>0.075</v>
      </c>
      <c r="C19" s="6" t="inlineStr">
        <is>
          <t>With Prompt Caching</t>
        </is>
      </c>
    </row>
    <row r="20">
      <c r="A20" s="4" t="inlineStr">
        <is>
          <t>text-embedding-3-small</t>
        </is>
      </c>
      <c r="B20" s="11" t="n">
        <v>0.02</v>
      </c>
      <c r="C20" s="6" t="inlineStr">
        <is>
          <t>Embedding generation</t>
        </is>
      </c>
    </row>
    <row r="22">
      <c r="A22" s="2" t="inlineStr">
        <is>
          <t>Period Parameters</t>
        </is>
      </c>
      <c r="B22" s="3" t="n"/>
      <c r="C22" s="3" t="n"/>
    </row>
    <row r="23">
      <c r="A23" s="4" t="inlineStr">
        <is>
          <t>PoC Development (months)</t>
        </is>
      </c>
      <c r="B23" s="5" t="n">
        <v>3</v>
      </c>
      <c r="C23" s="6" t="inlineStr">
        <is>
          <t>Editable</t>
        </is>
      </c>
    </row>
    <row r="24">
      <c r="A24" s="4" t="inlineStr">
        <is>
          <t>PoC Volume Ratio</t>
        </is>
      </c>
      <c r="B24" s="7" t="n">
        <v>0.1</v>
      </c>
      <c r="C24" s="6" t="inlineStr">
        <is>
          <t>10% of production volume</t>
        </is>
      </c>
    </row>
    <row r="25">
      <c r="A25" s="4" t="inlineStr">
        <is>
          <t>PoC Iteration Multiplier</t>
        </is>
      </c>
      <c r="B25" s="12" t="n">
        <v>3</v>
      </c>
      <c r="C25" s="6" t="inlineStr">
        <is>
          <t>Prompt tuning &amp; repeated testing</t>
        </is>
      </c>
    </row>
    <row r="26">
      <c r="A26" s="4" t="inlineStr">
        <is>
          <t>Client Validation (months)</t>
        </is>
      </c>
      <c r="B26" s="5" t="n">
        <v>2</v>
      </c>
      <c r="C26" s="6" t="inlineStr">
        <is>
          <t>Editable</t>
        </is>
      </c>
    </row>
    <row r="27">
      <c r="A27" s="4" t="inlineStr">
        <is>
          <t>Validation Volume Ratio</t>
        </is>
      </c>
      <c r="B27" s="7" t="n">
        <v>0.5</v>
      </c>
      <c r="C27" s="6" t="inlineStr">
        <is>
          <t>50% of production volume</t>
        </is>
      </c>
    </row>
    <row r="28">
      <c r="A28" s="4" t="inlineStr">
        <is>
          <t>Validation Iteration Multiplier</t>
        </is>
      </c>
      <c r="B28" s="12" t="n">
        <v>1.5</v>
      </c>
      <c r="C28" s="6" t="inlineStr">
        <is>
          <t>Fine-tuning iterations</t>
        </is>
      </c>
    </row>
    <row r="29">
      <c r="A29" s="4" t="inlineStr">
        <is>
          <t>Production (months/year)</t>
        </is>
      </c>
      <c r="B29" s="5" t="n">
        <v>12</v>
      </c>
    </row>
    <row r="31">
      <c r="A31" s="2" t="inlineStr">
        <is>
          <t>Other</t>
        </is>
      </c>
      <c r="B31" s="3" t="n"/>
      <c r="C31" s="3" t="n"/>
    </row>
    <row r="32">
      <c r="A32" s="4" t="inlineStr">
        <is>
          <t>USD/JPY Exchange Rate</t>
        </is>
      </c>
      <c r="B32" s="5" t="n">
        <v>150</v>
      </c>
      <c r="C32" s="6" t="inlineStr">
        <is>
          <t>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" t="inlineStr">
        <is>
          <t>AI Investigator</t>
        </is>
      </c>
    </row>
    <row r="2">
      <c r="A2" s="13" t="inlineStr">
        <is>
          <t>Model: GPT-4o-mini | Role: Workflow control, investigation strategy routing</t>
        </is>
      </c>
    </row>
    <row r="4">
      <c r="A4" s="2" t="inlineStr">
        <is>
          <t>Token Estimation</t>
        </is>
      </c>
      <c r="B4" s="3" t="n"/>
      <c r="C4" s="3" t="n"/>
    </row>
    <row r="5">
      <c r="A5" s="4" t="inlineStr">
        <is>
          <t>Input Tokens / Call</t>
        </is>
      </c>
      <c r="B5" s="5" t="n">
        <v>500</v>
      </c>
      <c r="C5" s="6" t="inlineStr">
        <is>
          <t>Editable</t>
        </is>
      </c>
    </row>
    <row r="6">
      <c r="A6" s="4" t="inlineStr">
        <is>
          <t>Output Tokens / Call</t>
        </is>
      </c>
      <c r="B6" s="5" t="n">
        <v>150</v>
      </c>
      <c r="C6" s="6" t="inlineStr">
        <is>
          <t>Editable</t>
        </is>
      </c>
    </row>
    <row r="7">
      <c r="A7" s="4" t="inlineStr">
        <is>
          <t>Calls / Case</t>
        </is>
      </c>
      <c r="B7" s="5" t="n">
        <v>1</v>
      </c>
      <c r="C7" s="6" t="inlineStr">
        <is>
          <t>Editable</t>
        </is>
      </c>
    </row>
    <row r="9">
      <c r="A9" s="2" t="inlineStr">
        <is>
          <t>Unit Cost Calculation</t>
        </is>
      </c>
      <c r="B9" s="3" t="n"/>
      <c r="C9" s="3" t="n"/>
    </row>
    <row r="10">
      <c r="A10" s="8" t="inlineStr">
        <is>
          <t>Input Cost / Call (USD)</t>
        </is>
      </c>
      <c r="B10" s="14">
        <f>B5/1000000*'Parameters'!B17</f>
        <v/>
      </c>
    </row>
    <row r="11">
      <c r="A11" s="8" t="inlineStr">
        <is>
          <t>Output Cost / Call (USD)</t>
        </is>
      </c>
      <c r="B11" s="14">
        <f>B6/1000000*'Parameters'!B18</f>
        <v/>
      </c>
    </row>
    <row r="12">
      <c r="A12" s="8" t="inlineStr">
        <is>
          <t>Cost / Call (USD)</t>
        </is>
      </c>
      <c r="B12" s="14">
        <f>B10+B11</f>
        <v/>
      </c>
    </row>
    <row r="13">
      <c r="A13" s="8" t="inlineStr">
        <is>
          <t>Cost / Case (USD)</t>
        </is>
      </c>
      <c r="B13" s="14">
        <f>B12*B7</f>
        <v/>
      </c>
    </row>
    <row r="14">
      <c r="A14" s="8" t="inlineStr">
        <is>
          <t>Cost / Case (JPY)</t>
        </is>
      </c>
      <c r="B14" s="15">
        <f>B13*'Parameters'!B32</f>
        <v/>
      </c>
    </row>
    <row r="16">
      <c r="A16" s="2" t="inlineStr">
        <is>
          <t>Monthly Cost (Production Equivalent)</t>
        </is>
      </c>
      <c r="B16" s="3" t="n"/>
      <c r="C16" s="3" t="n"/>
    </row>
    <row r="17">
      <c r="A17" s="8" t="inlineStr">
        <is>
          <t>Monthly AI Fallback Cases</t>
        </is>
      </c>
      <c r="B17" s="9">
        <f>'Parameters'!B11</f>
        <v/>
      </c>
    </row>
    <row r="18">
      <c r="A18" s="8" t="inlineStr">
        <is>
          <t>Monthly Cost (USD)</t>
        </is>
      </c>
      <c r="B18" s="16">
        <f>B13*B17</f>
        <v/>
      </c>
    </row>
    <row r="19">
      <c r="A19" s="8" t="inlineStr">
        <is>
          <t>Monthly Cost (JPY)</t>
        </is>
      </c>
      <c r="B19" s="15">
        <f>B18*'Parameters'!B32</f>
        <v/>
      </c>
    </row>
    <row r="21">
      <c r="A21" s="2" t="inlineStr">
        <is>
          <t>Cost by Period</t>
        </is>
      </c>
      <c r="B21" s="3" t="n"/>
      <c r="C21" s="3" t="n"/>
    </row>
    <row r="22">
      <c r="A22" s="17" t="inlineStr">
        <is>
          <t>Period</t>
        </is>
      </c>
      <c r="B22" s="18" t="inlineStr">
        <is>
          <t>USD</t>
        </is>
      </c>
      <c r="C22" s="18" t="inlineStr">
        <is>
          <t>JPY</t>
        </is>
      </c>
    </row>
    <row r="23">
      <c r="A23" s="8" t="inlineStr">
        <is>
          <t>PoC Development</t>
        </is>
      </c>
      <c r="B23" s="16">
        <f>B18*'Parameters'!B23*'Parameters'!B24*'Parameters'!B25</f>
        <v/>
      </c>
      <c r="C23" s="15">
        <f>B23*'Parameters'!B32</f>
        <v/>
      </c>
    </row>
    <row r="24">
      <c r="A24" s="8" t="inlineStr">
        <is>
          <t>Client Validation</t>
        </is>
      </c>
      <c r="B24" s="16">
        <f>B18*'Parameters'!B26*'Parameters'!B27*'Parameters'!B28</f>
        <v/>
      </c>
      <c r="C24" s="15">
        <f>B24*'Parameters'!B32</f>
        <v/>
      </c>
    </row>
    <row r="25">
      <c r="A25" s="8" t="inlineStr">
        <is>
          <t>Production (Annual)</t>
        </is>
      </c>
      <c r="B25" s="16">
        <f>B18*'Parameters'!B29</f>
        <v/>
      </c>
      <c r="C25" s="15">
        <f>B25*'Parameters'!B32</f>
        <v/>
      </c>
    </row>
    <row r="26">
      <c r="A26" s="19" t="inlineStr">
        <is>
          <t>Total</t>
        </is>
      </c>
      <c r="B26" s="20">
        <f>SUM(B23:B25)</f>
        <v/>
      </c>
      <c r="C26" s="21">
        <f>SUM(C23:C25)</f>
        <v/>
      </c>
    </row>
    <row r="28">
      <c r="A28" s="2" t="inlineStr">
        <is>
          <t>Sample Prompt (Reference)</t>
        </is>
      </c>
      <c r="B28" s="3" t="n"/>
      <c r="C28" s="3" t="n"/>
    </row>
    <row r="29">
      <c r="A29" s="22" t="inlineStr">
        <is>
          <t>You are an AI orchestrator for ERP-GL financial reconciliation.</t>
        </is>
      </c>
    </row>
    <row r="30">
      <c r="A30" s="22" t="inlineStr">
        <is>
          <t>Analyze the following unmatched case and determine the investigation strategy.</t>
        </is>
      </c>
    </row>
    <row r="31">
      <c r="A31" s="22" t="inlineStr"/>
    </row>
    <row r="32">
      <c r="A32" s="22" t="inlineStr">
        <is>
          <t>Case:</t>
        </is>
      </c>
    </row>
    <row r="33">
      <c r="A33" s="22" t="inlineStr">
        <is>
          <t>- Source: POS TXN-2024-001234, ¥15,000, 2024-01-15, Store-045</t>
        </is>
      </c>
    </row>
    <row r="34">
      <c r="A34" s="22" t="inlineStr">
        <is>
          <t>- GL: No exact match. Closest: JE-2024-5678, ¥14,985, 2024-01-16</t>
        </is>
      </c>
    </row>
    <row r="35">
      <c r="A35" s="22" t="inlineStr"/>
    </row>
    <row r="36">
      <c r="A36" s="22" t="inlineStr">
        <is>
          <t>Determine:</t>
        </is>
      </c>
    </row>
    <row r="37">
      <c r="A37" s="22" t="inlineStr">
        <is>
          <t>1. Investigation paths to activate (RAG search, pattern analysis)</t>
        </is>
      </c>
    </row>
    <row r="38">
      <c r="A38" s="22" t="inlineStr">
        <is>
          <t>2. Priority level (high/medium/low)</t>
        </is>
      </c>
    </row>
    <row r="39">
      <c r="A39" s="22" t="inlineStr">
        <is>
          <t>3. Initial classification hypothesis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" t="inlineStr">
        <is>
          <t>RAG Pipeline</t>
        </is>
      </c>
    </row>
    <row r="2">
      <c r="A2" s="13" t="inlineStr">
        <is>
          <t>Model: text-embedding-3-small | Role: Embedding generation for vector search on historical cases</t>
        </is>
      </c>
    </row>
    <row r="4">
      <c r="A4" s="2" t="inlineStr">
        <is>
          <t>Token Estimation</t>
        </is>
      </c>
      <c r="B4" s="3" t="n"/>
      <c r="C4" s="3" t="n"/>
    </row>
    <row r="5">
      <c r="A5" s="4" t="inlineStr">
        <is>
          <t>Input Tokens / Call</t>
        </is>
      </c>
      <c r="B5" s="5" t="n">
        <v>300</v>
      </c>
      <c r="C5" s="6" t="inlineStr">
        <is>
          <t>Editable</t>
        </is>
      </c>
    </row>
    <row r="6">
      <c r="A6" s="4" t="inlineStr">
        <is>
          <t>Output Tokens / Call</t>
        </is>
      </c>
      <c r="B6" s="5" t="n">
        <v>0</v>
      </c>
      <c r="C6" s="6" t="inlineStr">
        <is>
          <t>Editable</t>
        </is>
      </c>
    </row>
    <row r="7">
      <c r="A7" s="4" t="inlineStr">
        <is>
          <t>Calls / Case</t>
        </is>
      </c>
      <c r="B7" s="5" t="n">
        <v>1</v>
      </c>
      <c r="C7" s="6" t="inlineStr">
        <is>
          <t>Editable</t>
        </is>
      </c>
    </row>
    <row r="9">
      <c r="A9" s="2" t="inlineStr">
        <is>
          <t>Unit Cost Calculation</t>
        </is>
      </c>
      <c r="B9" s="3" t="n"/>
      <c r="C9" s="3" t="n"/>
    </row>
    <row r="10">
      <c r="A10" s="8" t="inlineStr">
        <is>
          <t>Input Cost / Call (USD)</t>
        </is>
      </c>
      <c r="B10" s="14">
        <f>B5/1000000*'Parameters'!B20</f>
        <v/>
      </c>
    </row>
    <row r="11">
      <c r="A11" s="8" t="inlineStr">
        <is>
          <t>Output Cost / Call (USD)</t>
        </is>
      </c>
      <c r="B11" s="14">
        <f>0</f>
        <v/>
      </c>
    </row>
    <row r="12">
      <c r="A12" s="8" t="inlineStr">
        <is>
          <t>Cost / Call (USD)</t>
        </is>
      </c>
      <c r="B12" s="14">
        <f>B10+B11</f>
        <v/>
      </c>
    </row>
    <row r="13">
      <c r="A13" s="8" t="inlineStr">
        <is>
          <t>Cost / Case (USD)</t>
        </is>
      </c>
      <c r="B13" s="14">
        <f>B12*B7</f>
        <v/>
      </c>
    </row>
    <row r="14">
      <c r="A14" s="8" t="inlineStr">
        <is>
          <t>Cost / Case (JPY)</t>
        </is>
      </c>
      <c r="B14" s="15">
        <f>B13*'Parameters'!B32</f>
        <v/>
      </c>
    </row>
    <row r="16">
      <c r="A16" s="2" t="inlineStr">
        <is>
          <t>Monthly Cost (Production Equivalent)</t>
        </is>
      </c>
      <c r="B16" s="3" t="n"/>
      <c r="C16" s="3" t="n"/>
    </row>
    <row r="17">
      <c r="A17" s="8" t="inlineStr">
        <is>
          <t>Monthly AI Fallback Cases</t>
        </is>
      </c>
      <c r="B17" s="9">
        <f>'Parameters'!B11</f>
        <v/>
      </c>
    </row>
    <row r="18">
      <c r="A18" s="8" t="inlineStr">
        <is>
          <t>Monthly Cost (USD)</t>
        </is>
      </c>
      <c r="B18" s="16">
        <f>B13*B17</f>
        <v/>
      </c>
    </row>
    <row r="19">
      <c r="A19" s="8" t="inlineStr">
        <is>
          <t>Monthly Cost (JPY)</t>
        </is>
      </c>
      <c r="B19" s="15">
        <f>B18*'Parameters'!B32</f>
        <v/>
      </c>
    </row>
    <row r="21">
      <c r="A21" s="2" t="inlineStr">
        <is>
          <t>Cost by Period</t>
        </is>
      </c>
      <c r="B21" s="3" t="n"/>
      <c r="C21" s="3" t="n"/>
    </row>
    <row r="22">
      <c r="A22" s="17" t="inlineStr">
        <is>
          <t>Period</t>
        </is>
      </c>
      <c r="B22" s="18" t="inlineStr">
        <is>
          <t>USD</t>
        </is>
      </c>
      <c r="C22" s="18" t="inlineStr">
        <is>
          <t>JPY</t>
        </is>
      </c>
    </row>
    <row r="23">
      <c r="A23" s="8" t="inlineStr">
        <is>
          <t>PoC Development</t>
        </is>
      </c>
      <c r="B23" s="16">
        <f>B18*'Parameters'!B23*'Parameters'!B24*'Parameters'!B25</f>
        <v/>
      </c>
      <c r="C23" s="15">
        <f>B23*'Parameters'!B32</f>
        <v/>
      </c>
    </row>
    <row r="24">
      <c r="A24" s="8" t="inlineStr">
        <is>
          <t>Client Validation</t>
        </is>
      </c>
      <c r="B24" s="16">
        <f>B18*'Parameters'!B26*'Parameters'!B27*'Parameters'!B28</f>
        <v/>
      </c>
      <c r="C24" s="15">
        <f>B24*'Parameters'!B32</f>
        <v/>
      </c>
    </row>
    <row r="25">
      <c r="A25" s="8" t="inlineStr">
        <is>
          <t>Production (Annual)</t>
        </is>
      </c>
      <c r="B25" s="16">
        <f>B18*'Parameters'!B29</f>
        <v/>
      </c>
      <c r="C25" s="15">
        <f>B25*'Parameters'!B32</f>
        <v/>
      </c>
    </row>
    <row r="26">
      <c r="A26" s="19" t="inlineStr">
        <is>
          <t>Total</t>
        </is>
      </c>
      <c r="B26" s="20">
        <f>SUM(B23:B25)</f>
        <v/>
      </c>
      <c r="C26" s="21">
        <f>SUM(C23:C25)</f>
        <v/>
      </c>
    </row>
    <row r="28">
      <c r="A28" s="2" t="inlineStr">
        <is>
          <t>Sample Prompt (Reference)</t>
        </is>
      </c>
      <c r="B28" s="3" t="n"/>
      <c r="C28" s="3" t="n"/>
    </row>
    <row r="29">
      <c r="A29" s="22" t="inlineStr">
        <is>
          <t>[Embedding Query Vector Generation]</t>
        </is>
      </c>
    </row>
    <row r="30">
      <c r="A30" s="22" t="inlineStr"/>
    </row>
    <row r="31">
      <c r="A31" s="22" t="inlineStr">
        <is>
          <t>Unmatched reconciliation case:</t>
        </is>
      </c>
    </row>
    <row r="32">
      <c r="A32" s="22" t="inlineStr">
        <is>
          <t>POS settlement transaction ¥15,000 vs GL entry ¥14,985.</t>
        </is>
      </c>
    </row>
    <row r="33">
      <c r="A33" s="22" t="inlineStr">
        <is>
          <t>Date difference: 1 business day (2024-01-15 vs 2024-01-16).</t>
        </is>
      </c>
    </row>
    <row r="34">
      <c r="A34" s="22" t="inlineStr">
        <is>
          <t>Store-045, Settlement category. Difference: ¥15 (0.1%).</t>
        </is>
      </c>
    </row>
    <row r="35">
      <c r="A35" s="22" t="inlineStr"/>
    </row>
    <row r="36">
      <c r="A36" s="22" t="inlineStr">
        <is>
          <t>Search for similar historical resolution cases.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" t="inlineStr">
        <is>
          <t>Root Cause Analysis</t>
        </is>
      </c>
    </row>
    <row r="2">
      <c r="A2" s="13" t="inlineStr">
        <is>
          <t>Model: GPT-4.1 | Role: Error pattern detection, root cause hypothesis, resolution proposal</t>
        </is>
      </c>
    </row>
    <row r="4">
      <c r="A4" s="2" t="inlineStr">
        <is>
          <t>Token Estimation</t>
        </is>
      </c>
      <c r="B4" s="3" t="n"/>
      <c r="C4" s="3" t="n"/>
    </row>
    <row r="5">
      <c r="A5" s="4" t="inlineStr">
        <is>
          <t>Input Tokens / Call</t>
        </is>
      </c>
      <c r="B5" s="5" t="n">
        <v>2000</v>
      </c>
      <c r="C5" s="6" t="inlineStr">
        <is>
          <t>Editable</t>
        </is>
      </c>
    </row>
    <row r="6">
      <c r="A6" s="4" t="inlineStr">
        <is>
          <t>Output Tokens / Call</t>
        </is>
      </c>
      <c r="B6" s="5" t="n">
        <v>800</v>
      </c>
      <c r="C6" s="6" t="inlineStr">
        <is>
          <t>Editable</t>
        </is>
      </c>
    </row>
    <row r="7">
      <c r="A7" s="4" t="inlineStr">
        <is>
          <t>Calls / Case</t>
        </is>
      </c>
      <c r="B7" s="5" t="n">
        <v>1</v>
      </c>
      <c r="C7" s="6" t="inlineStr">
        <is>
          <t>Editable</t>
        </is>
      </c>
    </row>
    <row r="9">
      <c r="A9" s="2" t="inlineStr">
        <is>
          <t>Unit Cost Calculation</t>
        </is>
      </c>
      <c r="B9" s="3" t="n"/>
      <c r="C9" s="3" t="n"/>
    </row>
    <row r="10">
      <c r="A10" s="8" t="inlineStr">
        <is>
          <t>Input Cost / Call (USD)</t>
        </is>
      </c>
      <c r="B10" s="14">
        <f>B5/1000000*'Parameters'!B14</f>
        <v/>
      </c>
    </row>
    <row r="11">
      <c r="A11" s="8" t="inlineStr">
        <is>
          <t>Output Cost / Call (USD)</t>
        </is>
      </c>
      <c r="B11" s="14">
        <f>B6/1000000*'Parameters'!B15</f>
        <v/>
      </c>
    </row>
    <row r="12">
      <c r="A12" s="8" t="inlineStr">
        <is>
          <t>Cost / Call (USD)</t>
        </is>
      </c>
      <c r="B12" s="14">
        <f>B10+B11</f>
        <v/>
      </c>
    </row>
    <row r="13">
      <c r="A13" s="8" t="inlineStr">
        <is>
          <t>Cost / Case (USD)</t>
        </is>
      </c>
      <c r="B13" s="14">
        <f>B12*B7</f>
        <v/>
      </c>
    </row>
    <row r="14">
      <c r="A14" s="8" t="inlineStr">
        <is>
          <t>Cost / Case (JPY)</t>
        </is>
      </c>
      <c r="B14" s="15">
        <f>B13*'Parameters'!B32</f>
        <v/>
      </c>
    </row>
    <row r="16">
      <c r="A16" s="2" t="inlineStr">
        <is>
          <t>Monthly Cost (Production Equivalent)</t>
        </is>
      </c>
      <c r="B16" s="3" t="n"/>
      <c r="C16" s="3" t="n"/>
    </row>
    <row r="17">
      <c r="A17" s="8" t="inlineStr">
        <is>
          <t>Monthly AI Fallback Cases</t>
        </is>
      </c>
      <c r="B17" s="9">
        <f>'Parameters'!B11</f>
        <v/>
      </c>
    </row>
    <row r="18">
      <c r="A18" s="8" t="inlineStr">
        <is>
          <t>Monthly Cost (USD)</t>
        </is>
      </c>
      <c r="B18" s="16">
        <f>B13*B17</f>
        <v/>
      </c>
    </row>
    <row r="19">
      <c r="A19" s="8" t="inlineStr">
        <is>
          <t>Monthly Cost (JPY)</t>
        </is>
      </c>
      <c r="B19" s="15">
        <f>B18*'Parameters'!B32</f>
        <v/>
      </c>
    </row>
    <row r="21">
      <c r="A21" s="2" t="inlineStr">
        <is>
          <t>Cost by Period</t>
        </is>
      </c>
      <c r="B21" s="3" t="n"/>
      <c r="C21" s="3" t="n"/>
    </row>
    <row r="22">
      <c r="A22" s="17" t="inlineStr">
        <is>
          <t>Period</t>
        </is>
      </c>
      <c r="B22" s="18" t="inlineStr">
        <is>
          <t>USD</t>
        </is>
      </c>
      <c r="C22" s="18" t="inlineStr">
        <is>
          <t>JPY</t>
        </is>
      </c>
    </row>
    <row r="23">
      <c r="A23" s="8" t="inlineStr">
        <is>
          <t>PoC Development</t>
        </is>
      </c>
      <c r="B23" s="16">
        <f>B18*'Parameters'!B23*'Parameters'!B24*'Parameters'!B25</f>
        <v/>
      </c>
      <c r="C23" s="15">
        <f>B23*'Parameters'!B32</f>
        <v/>
      </c>
    </row>
    <row r="24">
      <c r="A24" s="8" t="inlineStr">
        <is>
          <t>Client Validation</t>
        </is>
      </c>
      <c r="B24" s="16">
        <f>B18*'Parameters'!B26*'Parameters'!B27*'Parameters'!B28</f>
        <v/>
      </c>
      <c r="C24" s="15">
        <f>B24*'Parameters'!B32</f>
        <v/>
      </c>
    </row>
    <row r="25">
      <c r="A25" s="8" t="inlineStr">
        <is>
          <t>Production (Annual)</t>
        </is>
      </c>
      <c r="B25" s="16">
        <f>B18*'Parameters'!B29</f>
        <v/>
      </c>
      <c r="C25" s="15">
        <f>B25*'Parameters'!B32</f>
        <v/>
      </c>
    </row>
    <row r="26">
      <c r="A26" s="19" t="inlineStr">
        <is>
          <t>Total</t>
        </is>
      </c>
      <c r="B26" s="20">
        <f>SUM(B23:B25)</f>
        <v/>
      </c>
      <c r="C26" s="21">
        <f>SUM(C23:C25)</f>
        <v/>
      </c>
    </row>
    <row r="28">
      <c r="A28" s="2" t="inlineStr">
        <is>
          <t>Sample Prompt (Reference)</t>
        </is>
      </c>
      <c r="B28" s="3" t="n"/>
      <c r="C28" s="3" t="n"/>
    </row>
    <row r="29">
      <c r="A29" s="22" t="inlineStr">
        <is>
          <t>You are a financial reconciliation expert analyzing an unmatched transaction.</t>
        </is>
      </c>
    </row>
    <row r="30">
      <c r="A30" s="22" t="inlineStr"/>
    </row>
    <row r="31">
      <c r="A31" s="22" t="inlineStr">
        <is>
          <t>## Case Details</t>
        </is>
      </c>
    </row>
    <row r="32">
      <c r="A32" s="22" t="inlineStr">
        <is>
          <t>- Source: POS Settlement TXN-2024-001234</t>
        </is>
      </c>
    </row>
    <row r="33">
      <c r="A33" s="22" t="inlineStr">
        <is>
          <t xml:space="preserve">  Amount: ¥15,000 | Date: 2024-01-15 | Store: Store-045</t>
        </is>
      </c>
    </row>
    <row r="34">
      <c r="A34" s="22" t="inlineStr">
        <is>
          <t>- Target (GL): Closest match JE-2024-5678</t>
        </is>
      </c>
    </row>
    <row r="35">
      <c r="A35" s="22" t="inlineStr">
        <is>
          <t xml:space="preserve">  Amount: ¥14,985 | Date: 2024-01-16</t>
        </is>
      </c>
    </row>
    <row r="36">
      <c r="A36" s="22" t="inlineStr">
        <is>
          <t>- Difference: ¥15 (0.1%) | Date gap: 1 business day</t>
        </is>
      </c>
    </row>
    <row r="37">
      <c r="A37" s="22" t="inlineStr"/>
    </row>
    <row r="38">
      <c r="A38" s="22" t="inlineStr">
        <is>
          <t>## Similar Historical Cases (RAG Results)</t>
        </is>
      </c>
    </row>
    <row r="39">
      <c r="A39" s="22" t="inlineStr">
        <is>
          <t>1. Case #892 (95% similarity): T+1 settlement delay + rounding ¥15</t>
        </is>
      </c>
    </row>
    <row r="40">
      <c r="A40" s="22" t="inlineStr">
        <is>
          <t xml:space="preserve">   Resolution: Tolerance match, Finance approved</t>
        </is>
      </c>
    </row>
    <row r="41">
      <c r="A41" s="22" t="inlineStr">
        <is>
          <t>2. Case #456 (87% similarity): Fee calculation difference</t>
        </is>
      </c>
    </row>
    <row r="42">
      <c r="A42" s="22" t="inlineStr">
        <is>
          <t xml:space="preserve">   Resolution: Manual adjustment by Finance</t>
        </is>
      </c>
    </row>
    <row r="43">
      <c r="A43" s="22" t="inlineStr"/>
    </row>
    <row r="44">
      <c r="A44" s="22" t="inlineStr">
        <is>
          <t>## Required Analysis</t>
        </is>
      </c>
    </row>
    <row r="45">
      <c r="A45" s="22" t="inlineStr">
        <is>
          <t>1. Root cause category (data_quality / timing / system_diff / business_process)</t>
        </is>
      </c>
    </row>
    <row r="46">
      <c r="A46" s="22" t="inlineStr">
        <is>
          <t>2. Detailed hypothesis with evidence</t>
        </is>
      </c>
    </row>
    <row r="47">
      <c r="A47" s="22" t="inlineStr">
        <is>
          <t>3. Recommended resolution action</t>
        </is>
      </c>
    </row>
    <row r="48">
      <c r="A48" s="22" t="inlineStr">
        <is>
          <t>4. Confidence assessment rationale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" t="inlineStr">
        <is>
          <t>Confidence Scorer</t>
        </is>
      </c>
    </row>
    <row r="2">
      <c r="A2" s="13" t="inlineStr">
        <is>
          <t>Model: GPT-4o-mini | Role: Confidence scoring (0-100%), explainable reasoning</t>
        </is>
      </c>
    </row>
    <row r="4">
      <c r="A4" s="2" t="inlineStr">
        <is>
          <t>Token Estimation</t>
        </is>
      </c>
      <c r="B4" s="3" t="n"/>
      <c r="C4" s="3" t="n"/>
    </row>
    <row r="5">
      <c r="A5" s="4" t="inlineStr">
        <is>
          <t>Input Tokens / Call</t>
        </is>
      </c>
      <c r="B5" s="5" t="n">
        <v>1000</v>
      </c>
      <c r="C5" s="6" t="inlineStr">
        <is>
          <t>Editable</t>
        </is>
      </c>
    </row>
    <row r="6">
      <c r="A6" s="4" t="inlineStr">
        <is>
          <t>Output Tokens / Call</t>
        </is>
      </c>
      <c r="B6" s="5" t="n">
        <v>300</v>
      </c>
      <c r="C6" s="6" t="inlineStr">
        <is>
          <t>Editable</t>
        </is>
      </c>
    </row>
    <row r="7">
      <c r="A7" s="4" t="inlineStr">
        <is>
          <t>Calls / Case</t>
        </is>
      </c>
      <c r="B7" s="5" t="n">
        <v>1</v>
      </c>
      <c r="C7" s="6" t="inlineStr">
        <is>
          <t>Editable</t>
        </is>
      </c>
    </row>
    <row r="9">
      <c r="A9" s="2" t="inlineStr">
        <is>
          <t>Unit Cost Calculation</t>
        </is>
      </c>
      <c r="B9" s="3" t="n"/>
      <c r="C9" s="3" t="n"/>
    </row>
    <row r="10">
      <c r="A10" s="8" t="inlineStr">
        <is>
          <t>Input Cost / Call (USD)</t>
        </is>
      </c>
      <c r="B10" s="14">
        <f>B5/1000000*'Parameters'!B17</f>
        <v/>
      </c>
    </row>
    <row r="11">
      <c r="A11" s="8" t="inlineStr">
        <is>
          <t>Output Cost / Call (USD)</t>
        </is>
      </c>
      <c r="B11" s="14">
        <f>B6/1000000*'Parameters'!B18</f>
        <v/>
      </c>
    </row>
    <row r="12">
      <c r="A12" s="8" t="inlineStr">
        <is>
          <t>Cost / Call (USD)</t>
        </is>
      </c>
      <c r="B12" s="14">
        <f>B10+B11</f>
        <v/>
      </c>
    </row>
    <row r="13">
      <c r="A13" s="8" t="inlineStr">
        <is>
          <t>Cost / Case (USD)</t>
        </is>
      </c>
      <c r="B13" s="14">
        <f>B12*B7</f>
        <v/>
      </c>
    </row>
    <row r="14">
      <c r="A14" s="8" t="inlineStr">
        <is>
          <t>Cost / Case (JPY)</t>
        </is>
      </c>
      <c r="B14" s="15">
        <f>B13*'Parameters'!B32</f>
        <v/>
      </c>
    </row>
    <row r="16">
      <c r="A16" s="2" t="inlineStr">
        <is>
          <t>Monthly Cost (Production Equivalent)</t>
        </is>
      </c>
      <c r="B16" s="3" t="n"/>
      <c r="C16" s="3" t="n"/>
    </row>
    <row r="17">
      <c r="A17" s="8" t="inlineStr">
        <is>
          <t>Monthly AI Fallback Cases</t>
        </is>
      </c>
      <c r="B17" s="9">
        <f>'Parameters'!B11</f>
        <v/>
      </c>
    </row>
    <row r="18">
      <c r="A18" s="8" t="inlineStr">
        <is>
          <t>Monthly Cost (USD)</t>
        </is>
      </c>
      <c r="B18" s="16">
        <f>B13*B17</f>
        <v/>
      </c>
    </row>
    <row r="19">
      <c r="A19" s="8" t="inlineStr">
        <is>
          <t>Monthly Cost (JPY)</t>
        </is>
      </c>
      <c r="B19" s="15">
        <f>B18*'Parameters'!B32</f>
        <v/>
      </c>
    </row>
    <row r="21">
      <c r="A21" s="2" t="inlineStr">
        <is>
          <t>Cost by Period</t>
        </is>
      </c>
      <c r="B21" s="3" t="n"/>
      <c r="C21" s="3" t="n"/>
    </row>
    <row r="22">
      <c r="A22" s="17" t="inlineStr">
        <is>
          <t>Period</t>
        </is>
      </c>
      <c r="B22" s="18" t="inlineStr">
        <is>
          <t>USD</t>
        </is>
      </c>
      <c r="C22" s="18" t="inlineStr">
        <is>
          <t>JPY</t>
        </is>
      </c>
    </row>
    <row r="23">
      <c r="A23" s="8" t="inlineStr">
        <is>
          <t>PoC Development</t>
        </is>
      </c>
      <c r="B23" s="16">
        <f>B18*'Parameters'!B23*'Parameters'!B24*'Parameters'!B25</f>
        <v/>
      </c>
      <c r="C23" s="15">
        <f>B23*'Parameters'!B32</f>
        <v/>
      </c>
    </row>
    <row r="24">
      <c r="A24" s="8" t="inlineStr">
        <is>
          <t>Client Validation</t>
        </is>
      </c>
      <c r="B24" s="16">
        <f>B18*'Parameters'!B26*'Parameters'!B27*'Parameters'!B28</f>
        <v/>
      </c>
      <c r="C24" s="15">
        <f>B24*'Parameters'!B32</f>
        <v/>
      </c>
    </row>
    <row r="25">
      <c r="A25" s="8" t="inlineStr">
        <is>
          <t>Production (Annual)</t>
        </is>
      </c>
      <c r="B25" s="16">
        <f>B18*'Parameters'!B29</f>
        <v/>
      </c>
      <c r="C25" s="15">
        <f>B25*'Parameters'!B32</f>
        <v/>
      </c>
    </row>
    <row r="26">
      <c r="A26" s="19" t="inlineStr">
        <is>
          <t>Total</t>
        </is>
      </c>
      <c r="B26" s="20">
        <f>SUM(B23:B25)</f>
        <v/>
      </c>
      <c r="C26" s="21">
        <f>SUM(C23:C25)</f>
        <v/>
      </c>
    </row>
    <row r="28">
      <c r="A28" s="2" t="inlineStr">
        <is>
          <t>Sample Prompt (Reference)</t>
        </is>
      </c>
      <c r="B28" s="3" t="n"/>
      <c r="C28" s="3" t="n"/>
    </row>
    <row r="29">
      <c r="A29" s="22" t="inlineStr">
        <is>
          <t>Score the confidence of the following root cause analysis.</t>
        </is>
      </c>
    </row>
    <row r="30">
      <c r="A30" s="22" t="inlineStr"/>
    </row>
    <row r="31">
      <c r="A31" s="22" t="inlineStr">
        <is>
          <t>Analysis Result:</t>
        </is>
      </c>
    </row>
    <row r="32">
      <c r="A32" s="22" t="inlineStr">
        <is>
          <t>- Category: timing (Settlement delay T+1)</t>
        </is>
      </c>
    </row>
    <row r="33">
      <c r="A33" s="22" t="inlineStr">
        <is>
          <t>- Hypothesis: ¥15 difference from settlement rounding.</t>
        </is>
      </c>
    </row>
    <row r="34">
      <c r="A34" s="22" t="inlineStr">
        <is>
          <t xml:space="preserve">  1-day delay within normal T+1 window.</t>
        </is>
      </c>
    </row>
    <row r="35">
      <c r="A35" s="22" t="inlineStr">
        <is>
          <t>- Action: Apply tolerance match (±0.1%, ±1 business day)</t>
        </is>
      </c>
    </row>
    <row r="36">
      <c r="A36" s="22" t="inlineStr">
        <is>
          <t>- Similar Cases: 2 matches (95%, 87% similarity)</t>
        </is>
      </c>
    </row>
    <row r="37">
      <c r="A37" s="22" t="inlineStr">
        <is>
          <t>- Evidence: Case #892 had identical pattern, approved.</t>
        </is>
      </c>
    </row>
    <row r="38">
      <c r="A38" s="22" t="inlineStr"/>
    </row>
    <row r="39">
      <c r="A39" s="22" t="inlineStr">
        <is>
          <t>Output:</t>
        </is>
      </c>
    </row>
    <row r="40">
      <c r="A40" s="22" t="inlineStr">
        <is>
          <t>1. confidence_score (0-100)</t>
        </is>
      </c>
    </row>
    <row r="41">
      <c r="A41" s="22" t="inlineStr">
        <is>
          <t>2. reasoning (explain score justification)</t>
        </is>
      </c>
    </row>
    <row r="42">
      <c r="A42" s="22" t="inlineStr">
        <is>
          <t>3. risk_factors (potential issues to flag)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5" customWidth="1" min="4" max="4"/>
    <col width="18" customWidth="1" min="5" max="5"/>
    <col width="18" customWidth="1" min="6" max="6"/>
  </cols>
  <sheetData>
    <row r="1">
      <c r="A1" s="1" t="inlineStr">
        <is>
          <t>AI Orchestrator Cost Summary</t>
        </is>
      </c>
    </row>
    <row r="2">
      <c r="A2" s="13" t="inlineStr">
        <is>
          <t>ERP-GL Reconciliation - AI Investigation Fallback</t>
        </is>
      </c>
    </row>
    <row r="4">
      <c r="A4" s="2" t="inlineStr">
        <is>
          <t>Monthly Cost by Function (Production Equivalent)</t>
        </is>
      </c>
      <c r="B4" s="3" t="n"/>
      <c r="C4" s="3" t="n"/>
      <c r="D4" s="3" t="n"/>
      <c r="E4" s="3" t="n"/>
      <c r="F4" s="3" t="n"/>
    </row>
    <row r="5">
      <c r="A5" s="17" t="inlineStr">
        <is>
          <t>Function</t>
        </is>
      </c>
      <c r="B5" s="18" t="inlineStr">
        <is>
          <t>Model</t>
        </is>
      </c>
      <c r="C5" s="18" t="inlineStr">
        <is>
          <t>USD/Case</t>
        </is>
      </c>
      <c r="D5" s="18" t="inlineStr">
        <is>
          <t>Monthly Cases</t>
        </is>
      </c>
      <c r="E5" s="18" t="inlineStr">
        <is>
          <t>Monthly USD</t>
        </is>
      </c>
      <c r="F5" s="18" t="inlineStr">
        <is>
          <t>Monthly JPY</t>
        </is>
      </c>
    </row>
    <row r="6">
      <c r="A6" s="23" t="inlineStr">
        <is>
          <t>AI Investigator</t>
        </is>
      </c>
      <c r="B6" s="24" t="inlineStr">
        <is>
          <t>GPT-4o-mini</t>
        </is>
      </c>
      <c r="C6" s="25">
        <f>'AI Investigator'!B13</f>
        <v/>
      </c>
      <c r="D6" s="26">
        <f>'AI Investigator'!B17</f>
        <v/>
      </c>
      <c r="E6" s="27">
        <f>'AI Investigator'!B18</f>
        <v/>
      </c>
      <c r="F6" s="28">
        <f>'AI Investigator'!B19</f>
        <v/>
      </c>
    </row>
    <row r="7">
      <c r="A7" s="23" t="inlineStr">
        <is>
          <t>RAG Pipeline</t>
        </is>
      </c>
      <c r="B7" s="24" t="inlineStr">
        <is>
          <t>Embedding</t>
        </is>
      </c>
      <c r="C7" s="25">
        <f>'RAG Pipeline'!B13</f>
        <v/>
      </c>
      <c r="D7" s="26">
        <f>'RAG Pipeline'!B17</f>
        <v/>
      </c>
      <c r="E7" s="27">
        <f>'RAG Pipeline'!B18</f>
        <v/>
      </c>
      <c r="F7" s="28">
        <f>'RAG Pipeline'!B19</f>
        <v/>
      </c>
    </row>
    <row r="8">
      <c r="A8" s="23" t="inlineStr">
        <is>
          <t>Root Cause Analysis</t>
        </is>
      </c>
      <c r="B8" s="24" t="inlineStr">
        <is>
          <t>GPT-4.1</t>
        </is>
      </c>
      <c r="C8" s="25">
        <f>'Root Cause Analysis'!B13</f>
        <v/>
      </c>
      <c r="D8" s="26">
        <f>'Root Cause Analysis'!B17</f>
        <v/>
      </c>
      <c r="E8" s="27">
        <f>'Root Cause Analysis'!B18</f>
        <v/>
      </c>
      <c r="F8" s="28">
        <f>'Root Cause Analysis'!B19</f>
        <v/>
      </c>
    </row>
    <row r="9">
      <c r="A9" s="23" t="inlineStr">
        <is>
          <t>Confidence Scorer</t>
        </is>
      </c>
      <c r="B9" s="24" t="inlineStr">
        <is>
          <t>GPT-4o-mini</t>
        </is>
      </c>
      <c r="C9" s="25">
        <f>'Confidence Scorer'!B13</f>
        <v/>
      </c>
      <c r="D9" s="26">
        <f>'Confidence Scorer'!B17</f>
        <v/>
      </c>
      <c r="E9" s="27">
        <f>'Confidence Scorer'!B18</f>
        <v/>
      </c>
      <c r="F9" s="28">
        <f>'Confidence Scorer'!B19</f>
        <v/>
      </c>
    </row>
    <row r="10">
      <c r="A10" s="19" t="inlineStr">
        <is>
          <t>Monthly Total</t>
        </is>
      </c>
      <c r="B10" s="19" t="n"/>
      <c r="C10" s="19" t="n"/>
      <c r="D10" s="19" t="n"/>
      <c r="E10" s="20">
        <f>SUM(E6:E9)</f>
        <v/>
      </c>
      <c r="F10" s="21">
        <f>SUM(F6:F9)</f>
        <v/>
      </c>
    </row>
    <row r="12">
      <c r="A12" s="2" t="inlineStr">
        <is>
          <t>Cost Estimate by Period</t>
        </is>
      </c>
      <c r="B12" s="3" t="n"/>
      <c r="C12" s="3" t="n"/>
      <c r="D12" s="3" t="n"/>
      <c r="E12" s="3" t="n"/>
      <c r="F12" s="3" t="n"/>
    </row>
    <row r="13">
      <c r="A13" s="17" t="inlineStr">
        <is>
          <t>Period</t>
        </is>
      </c>
      <c r="B13" s="18" t="inlineStr">
        <is>
          <t>Months</t>
        </is>
      </c>
      <c r="C13" s="18" t="inlineStr">
        <is>
          <t>Volume Ratio</t>
        </is>
      </c>
      <c r="D13" s="18" t="inlineStr">
        <is>
          <t>Multiplier</t>
        </is>
      </c>
      <c r="E13" s="18" t="inlineStr">
        <is>
          <t>Total USD</t>
        </is>
      </c>
      <c r="F13" s="18" t="inlineStr">
        <is>
          <t>Total JPY</t>
        </is>
      </c>
    </row>
    <row r="14">
      <c r="A14" s="23" t="inlineStr">
        <is>
          <t>PoC Development</t>
        </is>
      </c>
      <c r="B14" s="26">
        <f>'Parameters'!B23</f>
        <v/>
      </c>
      <c r="C14" s="29">
        <f>'Parameters'!B24</f>
        <v/>
      </c>
      <c r="D14" s="30">
        <f>'Parameters'!B25</f>
        <v/>
      </c>
      <c r="E14" s="16">
        <f>'AI Investigator'!B23+'RAG Pipeline'!B23+'Root Cause Analysis'!B23+'Confidence Scorer'!B23</f>
        <v/>
      </c>
      <c r="F14" s="15">
        <f>E14*'Parameters'!B32</f>
        <v/>
      </c>
    </row>
    <row r="15">
      <c r="A15" s="23" t="inlineStr">
        <is>
          <t>Client Validation</t>
        </is>
      </c>
      <c r="B15" s="26">
        <f>'Parameters'!B26</f>
        <v/>
      </c>
      <c r="C15" s="29">
        <f>'Parameters'!B27</f>
        <v/>
      </c>
      <c r="D15" s="30">
        <f>'Parameters'!B28</f>
        <v/>
      </c>
      <c r="E15" s="16">
        <f>'AI Investigator'!B24+'RAG Pipeline'!B24+'Root Cause Analysis'!B24+'Confidence Scorer'!B24</f>
        <v/>
      </c>
      <c r="F15" s="15">
        <f>E15*'Parameters'!B32</f>
        <v/>
      </c>
    </row>
    <row r="16">
      <c r="A16" s="23" t="inlineStr">
        <is>
          <t>Production (Annual)</t>
        </is>
      </c>
      <c r="B16" s="26">
        <f>'Parameters'!B29</f>
        <v/>
      </c>
      <c r="C16" s="29" t="n">
        <v>1</v>
      </c>
      <c r="D16" s="30" t="n">
        <v>1</v>
      </c>
      <c r="E16" s="16">
        <f>'AI Investigator'!B25+'RAG Pipeline'!B25+'Root Cause Analysis'!B25+'Confidence Scorer'!B25</f>
        <v/>
      </c>
      <c r="F16" s="15">
        <f>E16*'Parameters'!B32</f>
        <v/>
      </c>
    </row>
    <row r="17">
      <c r="A17" s="19" t="inlineStr">
        <is>
          <t>Grand Total</t>
        </is>
      </c>
      <c r="B17" s="19" t="n"/>
      <c r="C17" s="19" t="n"/>
      <c r="D17" s="19" t="n"/>
      <c r="E17" s="20">
        <f>SUM(E14:E16)</f>
        <v/>
      </c>
      <c r="F17" s="21">
        <f>SUM(F14:F16)</f>
        <v/>
      </c>
    </row>
    <row r="19">
      <c r="A19" s="2" t="inlineStr">
        <is>
          <t>Assumptions</t>
        </is>
      </c>
      <c r="B19" s="3" t="n"/>
      <c r="C19" s="3" t="n"/>
      <c r="D19" s="3" t="n"/>
      <c r="E19" s="3" t="n"/>
      <c r="F19" s="3" t="n"/>
    </row>
    <row r="20">
      <c r="A20" s="13" t="inlineStr">
        <is>
          <t xml:space="preserve">  Pricing based on Azure OpenAI Global Standard (pay-as-you-go) published rates as of 2025</t>
        </is>
      </c>
    </row>
    <row r="21">
      <c r="A21" s="13" t="inlineStr">
        <is>
          <t xml:space="preserve">  PoC period: 10% of production volume, 3x iteration multiplier for prompt tuning &amp; testing</t>
        </is>
      </c>
    </row>
    <row r="22">
      <c r="A22" s="13" t="inlineStr">
        <is>
          <t xml:space="preserve">  Client validation: 50% of production volume, 1.5x iteration multiplier for fine-tuning</t>
        </is>
      </c>
    </row>
    <row r="23">
      <c r="A23" s="13" t="inlineStr">
        <is>
          <t xml:space="preserve">  Production: 100% volume, 12 months/year</t>
        </is>
      </c>
    </row>
    <row r="24">
      <c r="A24" s="13" t="inlineStr">
        <is>
          <t xml:space="preserve">  Prompt Caching not applied (up to 75% input cost reduction possible when enabled)</t>
        </is>
      </c>
    </row>
    <row r="25">
      <c r="A25" s="13" t="inlineStr">
        <is>
          <t xml:space="preserve">  Token counts are estimates based on sample prompts (see each function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2026-04-28T13:51:13Z</dcterms:created>
  <dcterms:modified xmlns:dcterms="http://purl.org/dc/terms/" xmlns:xsi="http://www.w3.org/2001/XMLSchema-instance" xsi:type="dcterms:W3CDTF">2026-04-28T13:51:13Z</dcterms:modified>
</cp:coreProperties>
</file>